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Github\AdOpT-NET0_my\data\carriers_data\biomass\"/>
    </mc:Choice>
  </mc:AlternateContent>
  <xr:revisionPtr revIDLastSave="0" documentId="13_ncr:1_{4E016A24-6158-41A8-92C8-4EE25F4FAF78}" xr6:coauthVersionLast="47" xr6:coauthVersionMax="47" xr10:uidLastSave="{00000000-0000-0000-0000-000000000000}"/>
  <bookViews>
    <workbookView xWindow="-120" yWindow="-16620" windowWidth="29040" windowHeight="15720" activeTab="2" xr2:uid="{00000000-000D-0000-FFFF-FFFF00000000}"/>
  </bookViews>
  <sheets>
    <sheet name="Note" sheetId="4" r:id="rId1"/>
    <sheet name="ENS_Low" sheetId="1" r:id="rId2"/>
    <sheet name="ENS_Med" sheetId="2" r:id="rId3"/>
    <sheet name="ENS_High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E4" i="1"/>
  <c r="E2" i="1"/>
  <c r="D4" i="1"/>
  <c r="D2" i="1"/>
  <c r="C4" i="1"/>
  <c r="C2" i="1"/>
  <c r="B4" i="1"/>
  <c r="B2" i="1"/>
  <c r="E4" i="3"/>
  <c r="E2" i="3"/>
  <c r="D4" i="3"/>
  <c r="D2" i="3"/>
  <c r="C4" i="3"/>
  <c r="C2" i="3"/>
  <c r="B4" i="3"/>
  <c r="B2" i="3"/>
  <c r="E4" i="2"/>
  <c r="E2" i="2"/>
  <c r="D4" i="2"/>
  <c r="D2" i="2"/>
  <c r="C4" i="2"/>
  <c r="C2" i="2"/>
  <c r="B2" i="2"/>
</calcChain>
</file>

<file path=xl/sharedStrings.xml><?xml version="1.0" encoding="utf-8"?>
<sst xmlns="http://schemas.openxmlformats.org/spreadsheetml/2006/main" count="10" uniqueCount="4">
  <si>
    <t>NL</t>
  </si>
  <si>
    <t>BE</t>
  </si>
  <si>
    <t>DE</t>
  </si>
  <si>
    <t>Availability is expressed in 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</si>
</sst>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27D2A-3E24-48EA-BA45-22F19B96F0CC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E4" sqref="E4"/>
    </sheetView>
  </sheetViews>
  <sheetFormatPr defaultRowHeight="14.4" x14ac:dyDescent="0.3"/>
  <sheetData>
    <row r="1" spans="1:5" x14ac:dyDescent="0.3">
      <c r="B1">
        <v>2020</v>
      </c>
      <c r="C1">
        <v>2030</v>
      </c>
      <c r="D1">
        <v>2040</v>
      </c>
      <c r="E1">
        <v>2050</v>
      </c>
    </row>
    <row r="2" spans="1:5" x14ac:dyDescent="0.3">
      <c r="A2" t="s">
        <v>1</v>
      </c>
      <c r="B2" s="1">
        <f>8.010342+4</f>
        <v>12.010342</v>
      </c>
      <c r="C2" s="1">
        <f>5.340983+2.7</f>
        <v>8.0409830000000007</v>
      </c>
      <c r="D2" s="1">
        <f>5.341526+2.7</f>
        <v>8.0415260000000011</v>
      </c>
      <c r="E2" s="1">
        <f>2.670877+1.3</f>
        <v>3.9708769999999998</v>
      </c>
    </row>
    <row r="3" spans="1:5" x14ac:dyDescent="0.3">
      <c r="A3" t="s">
        <v>2</v>
      </c>
      <c r="B3">
        <v>3.3</v>
      </c>
      <c r="C3">
        <v>2.6</v>
      </c>
      <c r="D3">
        <v>1.8</v>
      </c>
      <c r="E3">
        <v>0.9</v>
      </c>
    </row>
    <row r="4" spans="1:5" x14ac:dyDescent="0.3">
      <c r="A4" t="s">
        <v>0</v>
      </c>
      <c r="B4" s="1">
        <f>0.233156+0.1</f>
        <v>0.33315600000000001</v>
      </c>
      <c r="C4" s="1">
        <f>0.297251+0.1</f>
        <v>0.39725100000000002</v>
      </c>
      <c r="D4" s="1">
        <f>0.297251+0.1</f>
        <v>0.39725100000000002</v>
      </c>
      <c r="E4" s="1">
        <f>0.148625+0</f>
        <v>0.14862500000000001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E45F-EEB3-4F00-B435-84ED2BD9104F}">
  <dimension ref="A1:E4"/>
  <sheetViews>
    <sheetView tabSelected="1" workbookViewId="0">
      <selection activeCell="E4" sqref="E4"/>
    </sheetView>
  </sheetViews>
  <sheetFormatPr defaultRowHeight="14.4" x14ac:dyDescent="0.3"/>
  <sheetData>
    <row r="1" spans="1:5" x14ac:dyDescent="0.3">
      <c r="B1">
        <v>2020</v>
      </c>
      <c r="C1">
        <v>2030</v>
      </c>
      <c r="D1">
        <v>2040</v>
      </c>
      <c r="E1">
        <v>2050</v>
      </c>
    </row>
    <row r="2" spans="1:5" x14ac:dyDescent="0.3">
      <c r="A2" t="s">
        <v>1</v>
      </c>
      <c r="B2" s="1">
        <f>13.35057+6.6</f>
        <v>19.950569999999999</v>
      </c>
      <c r="C2" s="1">
        <f>10.68197+5.3</f>
        <v>15.98197</v>
      </c>
      <c r="D2" s="1">
        <f>10.68305+5.3</f>
        <v>15.983049999999999</v>
      </c>
      <c r="E2" s="1">
        <f>10.68305+5.3</f>
        <v>15.983049999999999</v>
      </c>
    </row>
    <row r="3" spans="1:5" x14ac:dyDescent="0.3">
      <c r="A3" t="s">
        <v>2</v>
      </c>
      <c r="B3">
        <v>5.4</v>
      </c>
      <c r="C3">
        <v>5.2</v>
      </c>
      <c r="D3">
        <v>3.8</v>
      </c>
      <c r="E3">
        <v>3.8</v>
      </c>
    </row>
    <row r="4" spans="1:5" x14ac:dyDescent="0.3">
      <c r="A4" t="s">
        <v>0</v>
      </c>
      <c r="B4" s="1">
        <f>0.388593+0.2</f>
        <v>0.58859300000000003</v>
      </c>
      <c r="C4" s="1">
        <f>0.594502+0.2</f>
        <v>0.79450200000000004</v>
      </c>
      <c r="D4" s="1">
        <f>0.594502+0.2</f>
        <v>0.79450200000000004</v>
      </c>
      <c r="E4" s="1">
        <f>0.594502+0.2</f>
        <v>0.79450200000000004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5CA6D-F24C-4084-A44C-75DED3A76FF6}">
  <dimension ref="A1:E4"/>
  <sheetViews>
    <sheetView workbookViewId="0">
      <selection activeCell="E4" sqref="E4"/>
    </sheetView>
  </sheetViews>
  <sheetFormatPr defaultRowHeight="14.4" x14ac:dyDescent="0.3"/>
  <sheetData>
    <row r="1" spans="1:5" x14ac:dyDescent="0.3">
      <c r="B1">
        <v>2020</v>
      </c>
      <c r="C1">
        <v>2030</v>
      </c>
      <c r="D1">
        <v>2040</v>
      </c>
      <c r="E1">
        <v>2050</v>
      </c>
    </row>
    <row r="2" spans="1:5" x14ac:dyDescent="0.3">
      <c r="A2" t="s">
        <v>1</v>
      </c>
      <c r="B2" s="1">
        <f>26.70114+13.3</f>
        <v>40.001139999999999</v>
      </c>
      <c r="C2" s="1">
        <f>26.70491+13.3</f>
        <v>40.004910000000002</v>
      </c>
      <c r="D2" s="1">
        <f>26.70763+13.3</f>
        <v>40.007630000000006</v>
      </c>
      <c r="E2" s="1">
        <f>26.70877+13.3</f>
        <v>40.008769999999998</v>
      </c>
    </row>
    <row r="3" spans="1:5" x14ac:dyDescent="0.3">
      <c r="A3" t="s">
        <v>2</v>
      </c>
      <c r="B3">
        <v>10.5</v>
      </c>
      <c r="C3">
        <v>13.1</v>
      </c>
      <c r="D3">
        <v>9.4</v>
      </c>
      <c r="E3">
        <v>9.3000000000000007</v>
      </c>
    </row>
    <row r="4" spans="1:5" x14ac:dyDescent="0.3">
      <c r="A4" t="s">
        <v>0</v>
      </c>
      <c r="B4" s="1">
        <f>0.777186+0.4</f>
        <v>1.1771860000000001</v>
      </c>
      <c r="C4" s="1">
        <f>1.486254+0.4</f>
        <v>1.8862540000000001</v>
      </c>
      <c r="D4" s="1">
        <f>1.486254+0.4</f>
        <v>1.8862540000000001</v>
      </c>
      <c r="E4" s="1">
        <f>1.486254+0.4</f>
        <v>1.8862540000000001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Note</vt:lpstr>
      <vt:lpstr>ENS_Low</vt:lpstr>
      <vt:lpstr>ENS_Med</vt:lpstr>
      <vt:lpstr>ENS_High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2026-06-09T09:46:52Z</dcterms:modified>
</cp:coreProperties>
</file>