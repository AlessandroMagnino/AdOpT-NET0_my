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25"/>
  <workbookPr/>
  <mc:AlternateContent xmlns:mc="http://schemas.openxmlformats.org/markup-compatibility/2006">
    <mc:Choice Requires="x15">
      <x15ac:absPath xmlns:x15ac="http://schemas.microsoft.com/office/spreadsheetml/2010/11/ac" url="C:\Github\AdOpT-NET0_my\data\"/>
    </mc:Choice>
  </mc:AlternateContent>
  <xr:revisionPtr revIDLastSave="0" documentId="13_ncr:1_{A71663D3-CEC0-46FC-9386-2B9CE26F03EA}" xr6:coauthVersionLast="47" xr6:coauthVersionMax="47" xr10:uidLastSave="{00000000-0000-0000-0000-000000000000}"/>
  <bookViews>
    <workbookView xWindow="-108" yWindow="12852" windowWidth="23256" windowHeight="12456" xr2:uid="{00000000-000D-0000-FFFF-FFFF00000000}"/>
  </bookViews>
  <sheets>
    <sheet name="Tabelle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38" i="1" l="1"/>
  <c r="F38" i="1" s="1"/>
  <c r="J35" i="1"/>
  <c r="J17" i="1"/>
  <c r="I22" i="1"/>
  <c r="I16" i="1"/>
  <c r="I10" i="1"/>
  <c r="J22" i="1"/>
  <c r="J16" i="1"/>
  <c r="J10" i="1"/>
  <c r="I35" i="1"/>
  <c r="I17" i="1"/>
  <c r="F39" i="1"/>
  <c r="C38" i="1"/>
  <c r="C39" i="1"/>
  <c r="E39" i="1" s="1"/>
  <c r="C35" i="1"/>
  <c r="H35" i="1" s="1"/>
  <c r="C27" i="1"/>
  <c r="E27" i="1" s="1"/>
  <c r="F27" i="1" s="1"/>
  <c r="E26" i="1"/>
  <c r="F26" i="1" s="1"/>
  <c r="C26" i="1"/>
  <c r="C22" i="1"/>
  <c r="G22" i="1" s="1"/>
  <c r="G16" i="1"/>
  <c r="F15" i="1"/>
  <c r="E15" i="1"/>
  <c r="F14" i="1"/>
  <c r="E14" i="1"/>
  <c r="H17" i="1"/>
  <c r="C15" i="1"/>
  <c r="C16" i="1"/>
  <c r="C14" i="1"/>
  <c r="C17" i="1"/>
  <c r="F3" i="1"/>
  <c r="F2" i="1"/>
  <c r="E3" i="1"/>
  <c r="C2" i="1"/>
  <c r="E2" i="1" s="1"/>
  <c r="C3" i="1"/>
  <c r="C10" i="1"/>
  <c r="G10" i="1" s="1"/>
</calcChain>
</file>

<file path=xl/sharedStrings.xml><?xml version="1.0" encoding="utf-8"?>
<sst xmlns="http://schemas.openxmlformats.org/spreadsheetml/2006/main" count="43" uniqueCount="19">
  <si>
    <t>BEL1</t>
  </si>
  <si>
    <t>Propylene</t>
  </si>
  <si>
    <t>Ethylene</t>
  </si>
  <si>
    <t>Ammonia</t>
  </si>
  <si>
    <t>Methanol</t>
  </si>
  <si>
    <t>BEL2</t>
  </si>
  <si>
    <t>kt/y</t>
  </si>
  <si>
    <t>t/h</t>
  </si>
  <si>
    <t>CrackerFurnace</t>
  </si>
  <si>
    <t>HB</t>
  </si>
  <si>
    <t>OlefinsSeparation</t>
  </si>
  <si>
    <t>DE</t>
  </si>
  <si>
    <t>MeOH synt</t>
  </si>
  <si>
    <t>NL1</t>
  </si>
  <si>
    <t>NL2</t>
  </si>
  <si>
    <t>NL3</t>
  </si>
  <si>
    <t>NL4</t>
  </si>
  <si>
    <t>SMR</t>
  </si>
  <si>
    <t>WGS_syngas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</si>
</sst>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41"/>
  <sheetViews>
    <sheetView tabSelected="1" workbookViewId="0">
      <pane ySplit="1" topLeftCell="A31" activePane="bottomLeft" state="frozen"/>
      <selection pane="bottomLeft" activeCell="E38" sqref="E38:F38"/>
    </sheetView>
  </sheetViews>
  <sheetFormatPr defaultRowHeight="15" x14ac:dyDescent="0.25"/>
  <cols>
    <col min="9" max="9" width="11" bestFit="1" customWidth="1"/>
    <col min="10" max="10" width="12" bestFit="1" customWidth="1"/>
  </cols>
  <sheetData>
    <row r="1" spans="1:10" x14ac:dyDescent="0.25">
      <c r="A1" t="s">
        <v>0</v>
      </c>
      <c r="B1" t="s">
        <v>6</v>
      </c>
      <c r="C1" t="s">
        <v>7</v>
      </c>
      <c r="E1" t="s">
        <v>8</v>
      </c>
      <c r="F1" t="s">
        <v>10</v>
      </c>
      <c r="G1" t="s">
        <v>9</v>
      </c>
      <c r="H1" t="s">
        <v>12</v>
      </c>
      <c r="I1" t="s">
        <v>17</v>
      </c>
      <c r="J1" t="s">
        <v>18</v>
      </c>
    </row>
    <row r="2" spans="1:10" x14ac:dyDescent="0.25">
      <c r="A2" t="s">
        <v>1</v>
      </c>
      <c r="B2">
        <v>1130</v>
      </c>
      <c r="C2">
        <f>B2*1000/8760</f>
        <v>128.99543378995435</v>
      </c>
      <c r="E2">
        <f>C2/0.1363</f>
        <v>946.40817160641484</v>
      </c>
      <c r="F2">
        <f>E2</f>
        <v>946.40817160641484</v>
      </c>
    </row>
    <row r="3" spans="1:10" x14ac:dyDescent="0.25">
      <c r="A3" t="s">
        <v>2</v>
      </c>
      <c r="B3">
        <v>2180</v>
      </c>
      <c r="C3">
        <f>B3*1000/8760</f>
        <v>248.85844748858449</v>
      </c>
      <c r="E3">
        <f>C3/0.3025</f>
        <v>822.6725536812711</v>
      </c>
      <c r="F3">
        <f>E3</f>
        <v>822.6725536812711</v>
      </c>
    </row>
    <row r="4" spans="1:10" x14ac:dyDescent="0.25">
      <c r="A4" t="s">
        <v>3</v>
      </c>
      <c r="B4">
        <v>0</v>
      </c>
    </row>
    <row r="5" spans="1:10" x14ac:dyDescent="0.25">
      <c r="A5" t="s">
        <v>4</v>
      </c>
      <c r="B5">
        <v>0</v>
      </c>
    </row>
    <row r="7" spans="1:10" x14ac:dyDescent="0.25">
      <c r="A7" t="s">
        <v>5</v>
      </c>
    </row>
    <row r="8" spans="1:10" x14ac:dyDescent="0.25">
      <c r="A8" t="s">
        <v>1</v>
      </c>
      <c r="B8">
        <v>0</v>
      </c>
    </row>
    <row r="9" spans="1:10" x14ac:dyDescent="0.25">
      <c r="A9" t="s">
        <v>2</v>
      </c>
      <c r="B9">
        <v>0</v>
      </c>
    </row>
    <row r="10" spans="1:10" x14ac:dyDescent="0.25">
      <c r="A10" t="s">
        <v>3</v>
      </c>
      <c r="B10">
        <v>400</v>
      </c>
      <c r="C10">
        <f>B10*1000/8760</f>
        <v>45.662100456621005</v>
      </c>
      <c r="G10">
        <f>C10</f>
        <v>45.662100456621005</v>
      </c>
      <c r="I10">
        <f>G10*0.3544</f>
        <v>16.182648401826484</v>
      </c>
      <c r="J10">
        <f>G10*0.7532</f>
        <v>34.392694063926939</v>
      </c>
    </row>
    <row r="11" spans="1:10" x14ac:dyDescent="0.25">
      <c r="A11" t="s">
        <v>4</v>
      </c>
      <c r="B11">
        <v>0</v>
      </c>
    </row>
    <row r="13" spans="1:10" x14ac:dyDescent="0.25">
      <c r="A13" t="s">
        <v>11</v>
      </c>
    </row>
    <row r="14" spans="1:10" x14ac:dyDescent="0.25">
      <c r="A14" t="s">
        <v>1</v>
      </c>
      <c r="B14">
        <v>530</v>
      </c>
      <c r="C14">
        <f>B14*1000/8760</f>
        <v>60.502283105022833</v>
      </c>
      <c r="E14">
        <f>C14/0.1363</f>
        <v>443.89055836407067</v>
      </c>
      <c r="F14">
        <f>E14</f>
        <v>443.89055836407067</v>
      </c>
    </row>
    <row r="15" spans="1:10" x14ac:dyDescent="0.25">
      <c r="A15" t="s">
        <v>2</v>
      </c>
      <c r="B15">
        <v>1365</v>
      </c>
      <c r="C15">
        <f t="shared" ref="C15:C16" si="0">B15*1000/8760</f>
        <v>155.82191780821918</v>
      </c>
      <c r="E15">
        <f>C15/0.3025</f>
        <v>515.11377787841059</v>
      </c>
      <c r="F15">
        <f>E15</f>
        <v>515.11377787841059</v>
      </c>
    </row>
    <row r="16" spans="1:10" x14ac:dyDescent="0.25">
      <c r="A16" t="s">
        <v>3</v>
      </c>
      <c r="B16">
        <v>350</v>
      </c>
      <c r="C16">
        <f t="shared" si="0"/>
        <v>39.954337899543376</v>
      </c>
      <c r="G16">
        <f>C16</f>
        <v>39.954337899543376</v>
      </c>
      <c r="I16">
        <f>G16*0.3544</f>
        <v>14.159817351598171</v>
      </c>
      <c r="J16">
        <f>G16*0.7532</f>
        <v>30.093607305936068</v>
      </c>
    </row>
    <row r="17" spans="1:10" x14ac:dyDescent="0.25">
      <c r="A17" t="s">
        <v>4</v>
      </c>
      <c r="B17">
        <v>280</v>
      </c>
      <c r="C17">
        <f>B17*1000/8760</f>
        <v>31.963470319634702</v>
      </c>
      <c r="H17">
        <f>C17/0.823</f>
        <v>38.837752514744473</v>
      </c>
      <c r="I17">
        <f>H17/2.125</f>
        <v>18.276589418703281</v>
      </c>
      <c r="J17">
        <f>I17*2.125</f>
        <v>38.837752514744473</v>
      </c>
    </row>
    <row r="19" spans="1:10" x14ac:dyDescent="0.25">
      <c r="A19" t="s">
        <v>13</v>
      </c>
    </row>
    <row r="20" spans="1:10" x14ac:dyDescent="0.25">
      <c r="A20" t="s">
        <v>1</v>
      </c>
    </row>
    <row r="21" spans="1:10" x14ac:dyDescent="0.25">
      <c r="A21" t="s">
        <v>2</v>
      </c>
    </row>
    <row r="22" spans="1:10" x14ac:dyDescent="0.25">
      <c r="A22" t="s">
        <v>3</v>
      </c>
      <c r="B22">
        <v>1900</v>
      </c>
      <c r="C22">
        <f t="shared" ref="C22" si="1">B22*1000/8760</f>
        <v>216.89497716894977</v>
      </c>
      <c r="G22">
        <f>C22</f>
        <v>216.89497716894977</v>
      </c>
      <c r="I22">
        <f>G22*0.3544</f>
        <v>76.867579908675793</v>
      </c>
      <c r="J22">
        <f>G22*0.7532</f>
        <v>163.36529680365297</v>
      </c>
    </row>
    <row r="23" spans="1:10" x14ac:dyDescent="0.25">
      <c r="A23" t="s">
        <v>4</v>
      </c>
    </row>
    <row r="25" spans="1:10" x14ac:dyDescent="0.25">
      <c r="A25" t="s">
        <v>14</v>
      </c>
    </row>
    <row r="26" spans="1:10" x14ac:dyDescent="0.25">
      <c r="A26" t="s">
        <v>1</v>
      </c>
      <c r="B26">
        <v>675</v>
      </c>
      <c r="C26">
        <f>B26*1000/8760</f>
        <v>77.054794520547944</v>
      </c>
      <c r="E26">
        <f>C26/0.1363</f>
        <v>565.33231489763716</v>
      </c>
      <c r="F26">
        <f>E26</f>
        <v>565.33231489763716</v>
      </c>
    </row>
    <row r="27" spans="1:10" x14ac:dyDescent="0.25">
      <c r="A27" t="s">
        <v>2</v>
      </c>
      <c r="B27">
        <v>1250</v>
      </c>
      <c r="C27">
        <f>B27*1000/8760</f>
        <v>142.69406392694063</v>
      </c>
      <c r="E27">
        <f>C27/0.3025</f>
        <v>471.71591380806819</v>
      </c>
      <c r="F27">
        <f>E27</f>
        <v>471.71591380806819</v>
      </c>
    </row>
    <row r="28" spans="1:10" x14ac:dyDescent="0.25">
      <c r="A28" t="s">
        <v>3</v>
      </c>
    </row>
    <row r="29" spans="1:10" x14ac:dyDescent="0.25">
      <c r="A29" t="s">
        <v>4</v>
      </c>
    </row>
    <row r="31" spans="1:10" x14ac:dyDescent="0.25">
      <c r="A31" t="s">
        <v>15</v>
      </c>
    </row>
    <row r="32" spans="1:10" x14ac:dyDescent="0.25">
      <c r="A32" t="s">
        <v>1</v>
      </c>
    </row>
    <row r="33" spans="1:10" x14ac:dyDescent="0.25">
      <c r="A33" t="s">
        <v>2</v>
      </c>
    </row>
    <row r="34" spans="1:10" x14ac:dyDescent="0.25">
      <c r="A34" t="s">
        <v>3</v>
      </c>
    </row>
    <row r="35" spans="1:10" x14ac:dyDescent="0.25">
      <c r="A35" t="s">
        <v>4</v>
      </c>
      <c r="B35">
        <v>850</v>
      </c>
      <c r="C35">
        <f>B35*1000/8760</f>
        <v>97.031963470319639</v>
      </c>
      <c r="H35">
        <f>C35/0.823</f>
        <v>117.90032013404574</v>
      </c>
      <c r="I35">
        <f>H35/2.125</f>
        <v>55.482503592492115</v>
      </c>
      <c r="J35">
        <f>I35*2.125</f>
        <v>117.90032013404574</v>
      </c>
    </row>
    <row r="37" spans="1:10" x14ac:dyDescent="0.25">
      <c r="A37" t="s">
        <v>16</v>
      </c>
    </row>
    <row r="38" spans="1:10" x14ac:dyDescent="0.25">
      <c r="A38" t="s">
        <v>1</v>
      </c>
      <c r="B38">
        <v>780</v>
      </c>
      <c r="C38">
        <f>B38*1000/8760</f>
        <v>89.041095890410958</v>
      </c>
      <c r="E38">
        <f>C38/0.1363</f>
        <v>653.27289721504735</v>
      </c>
      <c r="F38">
        <f>E38</f>
        <v>653.27289721504735</v>
      </c>
    </row>
    <row r="39" spans="1:10" x14ac:dyDescent="0.25">
      <c r="A39" t="s">
        <v>2</v>
      </c>
      <c r="B39">
        <v>971</v>
      </c>
      <c r="C39">
        <f t="shared" ref="C39" si="2">B39*1000/8760</f>
        <v>110.84474885844749</v>
      </c>
      <c r="E39">
        <f>C39/0.3025</f>
        <v>366.42892184610741</v>
      </c>
      <c r="F39">
        <f>E39</f>
        <v>366.42892184610741</v>
      </c>
    </row>
    <row r="40" spans="1:10" x14ac:dyDescent="0.25">
      <c r="A40" t="s">
        <v>3</v>
      </c>
    </row>
    <row r="41" spans="1:10" x14ac:dyDescent="0.25">
      <c r="A41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Tabelle1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alessandro.magnino</dc:creator>
  <cp:lastModifiedBy>Alessandro  Magnino</cp:lastModifiedBy>
  <dcterms:created xsi:type="dcterms:W3CDTF">2015-06-05T18:19:34Z</dcterms:created>
  <dcterms:modified xsi:type="dcterms:W3CDTF">2026-03-10T15:17:47Z</dcterms:modified>
</cp:coreProperties>
</file>