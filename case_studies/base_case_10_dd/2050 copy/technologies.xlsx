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base_case_10_dd\2050 copy\"/>
    </mc:Choice>
  </mc:AlternateContent>
  <xr:revisionPtr revIDLastSave="0" documentId="13_ncr:1_{8048B940-FA7D-488C-A622-21D68B7719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isting" sheetId="1" r:id="rId1"/>
    <sheet name="new" sheetId="2" r:id="rId2"/>
    <sheet name="existing (2)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Z2" i="1"/>
  <c r="AA2" i="1"/>
  <c r="AB2" i="1"/>
  <c r="AC2" i="1"/>
  <c r="AD2" i="1"/>
  <c r="AE2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B3" i="1"/>
  <c r="B4" i="1"/>
  <c r="B5" i="1"/>
  <c r="B6" i="1"/>
  <c r="B7" i="1"/>
  <c r="B8" i="1"/>
  <c r="B2" i="1"/>
</calcChain>
</file>

<file path=xl/sharedStrings.xml><?xml version="1.0" encoding="utf-8"?>
<sst xmlns="http://schemas.openxmlformats.org/spreadsheetml/2006/main" count="114" uniqueCount="38">
  <si>
    <t>cluster</t>
  </si>
  <si>
    <t>SOEC</t>
  </si>
  <si>
    <t>PEMEC</t>
  </si>
  <si>
    <t>HaberBosch</t>
  </si>
  <si>
    <t>Storage_Battery</t>
  </si>
  <si>
    <t>Storage_H2</t>
  </si>
  <si>
    <t>HBfeed_mixer</t>
  </si>
  <si>
    <t>ASU</t>
  </si>
  <si>
    <t>SteamReformer</t>
  </si>
  <si>
    <t>Boiler_El</t>
  </si>
  <si>
    <t>WGS_syngas</t>
  </si>
  <si>
    <t>eSMR_syngas</t>
  </si>
  <si>
    <t>CrackerFurnace</t>
  </si>
  <si>
    <t>OlefinSeparation</t>
  </si>
  <si>
    <t>eCrackerFurnace</t>
  </si>
  <si>
    <t>MeOHsynthesis</t>
  </si>
  <si>
    <t>MethanolToOlefins</t>
  </si>
  <si>
    <t>rWGS</t>
  </si>
  <si>
    <t>Plastic2methanol</t>
  </si>
  <si>
    <t>feedgas_mixer</t>
  </si>
  <si>
    <t>HBfeed_splitter</t>
  </si>
  <si>
    <t>Biomass2methanol</t>
  </si>
  <si>
    <t>CO2_mixer</t>
  </si>
  <si>
    <t>naphtha_mixer</t>
  </si>
  <si>
    <t>DAC_Adsorption</t>
  </si>
  <si>
    <t>CO2toEmissions</t>
  </si>
  <si>
    <t>electricity_grid_connection_BE</t>
  </si>
  <si>
    <t>electricity_grid_connection_DE</t>
  </si>
  <si>
    <t>electricity_grid_connection_NL</t>
  </si>
  <si>
    <t>H2_network_connection_in</t>
  </si>
  <si>
    <t>H2_network_connection_out</t>
  </si>
  <si>
    <t>BEL1</t>
  </si>
  <si>
    <t>BEL2</t>
  </si>
  <si>
    <t>DE</t>
  </si>
  <si>
    <t>NL1</t>
  </si>
  <si>
    <t>NL2</t>
  </si>
  <si>
    <t>NL3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</si>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</sst>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0.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AF0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tabSelected="1" workbookViewId="0">
      <pane xSplit="1" ySplit="1" topLeftCell="T2" activePane="bottomRight" state="frozen"/>
      <selection pane="topRight"/>
      <selection pane="bottomLeft"/>
      <selection pane="bottomRight" activeCell="Y3" sqref="Y3"/>
    </sheetView>
  </sheetViews>
  <sheetFormatPr defaultRowHeight="14.4" x14ac:dyDescent="0.3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  <col min="27" max="29" width="32" customWidth="1"/>
    <col min="30" max="30" width="26" customWidth="1"/>
    <col min="31" max="31" width="27" customWidth="1"/>
  </cols>
  <sheetData>
    <row r="1" spans="1:3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3">
        <f>'existing (2)'!B2/10</f>
        <v>0</v>
      </c>
      <c r="C2" s="3">
        <f>'existing (2)'!C2/10</f>
        <v>0</v>
      </c>
      <c r="D2" s="3">
        <f>'existing (2)'!D2/10</f>
        <v>0</v>
      </c>
      <c r="E2" s="3">
        <f>'existing (2)'!E2/10</f>
        <v>0</v>
      </c>
      <c r="F2" s="3">
        <f>'existing (2)'!F2/10</f>
        <v>0.13799999999999998</v>
      </c>
      <c r="G2" s="3">
        <f>'existing (2)'!G2/10</f>
        <v>0</v>
      </c>
      <c r="H2" s="3">
        <f>'existing (2)'!H2/10</f>
        <v>0</v>
      </c>
      <c r="I2" s="3">
        <f>'existing (2)'!I2/10</f>
        <v>11.41</v>
      </c>
      <c r="J2" s="3">
        <f>'existing (2)'!J2/10</f>
        <v>46.286999999999999</v>
      </c>
      <c r="K2" s="3">
        <f>'existing (2)'!K2/10</f>
        <v>9.9039999999999999</v>
      </c>
      <c r="L2" s="3">
        <f>'existing (2)'!L2/10</f>
        <v>6.6950000000000003</v>
      </c>
      <c r="M2" s="3">
        <f>'existing (2)'!M2/10</f>
        <v>94.640999999999991</v>
      </c>
      <c r="N2" s="3">
        <f>'existing (2)'!N2/10</f>
        <v>98.399000000000001</v>
      </c>
      <c r="O2" s="3">
        <f>'existing (2)'!O2/10</f>
        <v>0</v>
      </c>
      <c r="P2" s="3">
        <f>'existing (2)'!P2/10</f>
        <v>37.048000000000002</v>
      </c>
      <c r="Q2" s="3">
        <f>'existing (2)'!Q2/10</f>
        <v>41.602999999999994</v>
      </c>
      <c r="R2" s="3">
        <f>'existing (2)'!R2/10</f>
        <v>3.6799999999999997</v>
      </c>
      <c r="S2" s="3">
        <f>'existing (2)'!S2/10</f>
        <v>2.2370000000000001</v>
      </c>
      <c r="T2" s="3">
        <f>'existing (2)'!T2/10</f>
        <v>18.105</v>
      </c>
      <c r="U2" s="3">
        <f>'existing (2)'!U2/10</f>
        <v>0</v>
      </c>
      <c r="V2" s="3">
        <f>'existing (2)'!V2/10</f>
        <v>4.9159999999999995</v>
      </c>
      <c r="W2" s="3">
        <f>'existing (2)'!W2/10</f>
        <v>27.469000000000001</v>
      </c>
      <c r="X2" s="3">
        <f>'existing (2)'!X2/10</f>
        <v>0.68499999999999994</v>
      </c>
      <c r="Y2" s="3">
        <v>579</v>
      </c>
      <c r="Z2" s="3">
        <f>'existing (2)'!Z2/10</f>
        <v>0</v>
      </c>
      <c r="AA2" s="3">
        <f>'existing (2)'!AA2/10</f>
        <v>0</v>
      </c>
      <c r="AB2" s="3">
        <f>'existing (2)'!AB2/10</f>
        <v>0</v>
      </c>
      <c r="AC2" s="3">
        <f>'existing (2)'!AC2/10</f>
        <v>0</v>
      </c>
      <c r="AD2" s="3">
        <f>'existing (2)'!AD2/10</f>
        <v>0</v>
      </c>
      <c r="AE2" s="3">
        <f>'existing (2)'!AE2/10</f>
        <v>0</v>
      </c>
    </row>
    <row r="3" spans="1:31" x14ac:dyDescent="0.3">
      <c r="A3" s="4" t="s">
        <v>32</v>
      </c>
      <c r="B3" s="3">
        <f>'existing (2)'!B3/10</f>
        <v>0.52100000000000002</v>
      </c>
      <c r="C3" s="3">
        <f>'existing (2)'!C3/10</f>
        <v>0</v>
      </c>
      <c r="D3" s="3">
        <f>'existing (2)'!D3/10</f>
        <v>4.5659999999999998</v>
      </c>
      <c r="E3" s="3">
        <f>'existing (2)'!E3/10</f>
        <v>0</v>
      </c>
      <c r="F3" s="3">
        <f>'existing (2)'!F3/10</f>
        <v>0.14399999999999999</v>
      </c>
      <c r="G3" s="3">
        <f>'existing (2)'!G3/10</f>
        <v>0.80800000000000005</v>
      </c>
      <c r="H3" s="3">
        <f>'existing (2)'!H3/10</f>
        <v>0.35499999999999998</v>
      </c>
      <c r="I3" s="3">
        <f>'existing (2)'!I3/10</f>
        <v>0</v>
      </c>
      <c r="J3" s="3">
        <f>'existing (2)'!J3/10</f>
        <v>3.7719999999999998</v>
      </c>
      <c r="K3" s="3">
        <f>'existing (2)'!K3/10</f>
        <v>3.5219999999999998</v>
      </c>
      <c r="L3" s="3">
        <f>'existing (2)'!L3/10</f>
        <v>0</v>
      </c>
      <c r="M3" s="3">
        <f>'existing (2)'!M3/10</f>
        <v>0</v>
      </c>
      <c r="N3" s="3">
        <f>'existing (2)'!N3/10</f>
        <v>0</v>
      </c>
      <c r="O3" s="3">
        <f>'existing (2)'!O3/10</f>
        <v>0</v>
      </c>
      <c r="P3" s="3">
        <f>'existing (2)'!P3/10</f>
        <v>0</v>
      </c>
      <c r="Q3" s="3">
        <f>'existing (2)'!Q3/10</f>
        <v>0</v>
      </c>
      <c r="R3" s="3">
        <f>'existing (2)'!R3/10</f>
        <v>0</v>
      </c>
      <c r="S3" s="3">
        <f>'existing (2)'!S3/10</f>
        <v>0</v>
      </c>
      <c r="T3" s="3">
        <f>'existing (2)'!T3/10</f>
        <v>1.7749999999999999</v>
      </c>
      <c r="U3" s="3">
        <f>'existing (2)'!U3/10</f>
        <v>0</v>
      </c>
      <c r="V3" s="3">
        <f>'existing (2)'!V3/10</f>
        <v>0</v>
      </c>
      <c r="W3" s="3">
        <f>'existing (2)'!W3/10</f>
        <v>0</v>
      </c>
      <c r="X3" s="3">
        <f>'existing (2)'!X3/10</f>
        <v>0</v>
      </c>
      <c r="Y3" s="3">
        <f>'existing (2)'!Y3/10</f>
        <v>0</v>
      </c>
      <c r="Z3" s="3">
        <f>'existing (2)'!Z3/10</f>
        <v>4.8420000000000005</v>
      </c>
      <c r="AA3" s="3">
        <f>'existing (2)'!AA3/10</f>
        <v>0</v>
      </c>
      <c r="AB3" s="3">
        <f>'existing (2)'!AB3/10</f>
        <v>0</v>
      </c>
      <c r="AC3" s="3">
        <f>'existing (2)'!AC3/10</f>
        <v>0</v>
      </c>
      <c r="AD3" s="3">
        <f>'existing (2)'!AD3/10</f>
        <v>0</v>
      </c>
      <c r="AE3" s="3">
        <f>'existing (2)'!AE3/10</f>
        <v>0</v>
      </c>
    </row>
    <row r="4" spans="1:31" x14ac:dyDescent="0.3">
      <c r="A4" s="2" t="s">
        <v>33</v>
      </c>
      <c r="B4" s="3">
        <f>'existing (2)'!B4/10</f>
        <v>0</v>
      </c>
      <c r="C4" s="3">
        <f>'existing (2)'!C4/10</f>
        <v>0</v>
      </c>
      <c r="D4" s="3">
        <f>'existing (2)'!D4/10</f>
        <v>3.9950000000000001</v>
      </c>
      <c r="E4" s="3">
        <f>'existing (2)'!E4/10</f>
        <v>0</v>
      </c>
      <c r="F4" s="3">
        <f>'existing (2)'!F4/10</f>
        <v>4.5999999999999999E-2</v>
      </c>
      <c r="G4" s="3">
        <f>'existing (2)'!G4/10</f>
        <v>0.70700000000000007</v>
      </c>
      <c r="H4" s="3">
        <f>'existing (2)'!H4/10</f>
        <v>0</v>
      </c>
      <c r="I4" s="3">
        <f>'existing (2)'!I4/10</f>
        <v>17.704000000000001</v>
      </c>
      <c r="J4" s="3">
        <f>'existing (2)'!J4/10</f>
        <v>54.174999999999997</v>
      </c>
      <c r="K4" s="3">
        <f>'existing (2)'!K4/10</f>
        <v>2.0300000000000002</v>
      </c>
      <c r="L4" s="3">
        <f>'existing (2)'!L4/10</f>
        <v>31.355</v>
      </c>
      <c r="M4" s="3">
        <f>'existing (2)'!M4/10</f>
        <v>66.66</v>
      </c>
      <c r="N4" s="3">
        <f>'existing (2)'!N4/10</f>
        <v>66.66</v>
      </c>
      <c r="O4" s="3">
        <f>'existing (2)'!O4/10</f>
        <v>0</v>
      </c>
      <c r="P4" s="3">
        <f>'existing (2)'!P4/10</f>
        <v>121.73399999999999</v>
      </c>
      <c r="Q4" s="3">
        <f>'existing (2)'!Q4/10</f>
        <v>125.26199999999999</v>
      </c>
      <c r="R4" s="3">
        <f>'existing (2)'!R4/10</f>
        <v>25.491</v>
      </c>
      <c r="S4" s="3">
        <f>'existing (2)'!S4/10</f>
        <v>4.3319999999999999</v>
      </c>
      <c r="T4" s="3">
        <f>'existing (2)'!T4/10</f>
        <v>49.058999999999997</v>
      </c>
      <c r="U4" s="3">
        <f>'existing (2)'!U4/10</f>
        <v>0</v>
      </c>
      <c r="V4" s="3">
        <f>'existing (2)'!V4/10</f>
        <v>1.4730000000000001</v>
      </c>
      <c r="W4" s="3">
        <f>'existing (2)'!W4/10</f>
        <v>25.190999999999999</v>
      </c>
      <c r="X4" s="3">
        <f>'existing (2)'!X4/10</f>
        <v>1.3699999999999999</v>
      </c>
      <c r="Y4" s="3">
        <f>'existing (2)'!Y4/10</f>
        <v>0</v>
      </c>
      <c r="Z4" s="3">
        <f>'existing (2)'!Z4/10</f>
        <v>2.7909999999999999</v>
      </c>
      <c r="AA4" s="3">
        <f>'existing (2)'!AA4/10</f>
        <v>0</v>
      </c>
      <c r="AB4" s="3">
        <f>'existing (2)'!AB4/10</f>
        <v>0</v>
      </c>
      <c r="AC4" s="3">
        <f>'existing (2)'!AC4/10</f>
        <v>0</v>
      </c>
      <c r="AD4" s="3">
        <f>'existing (2)'!AD4/10</f>
        <v>0</v>
      </c>
      <c r="AE4" s="3">
        <f>'existing (2)'!AE4/10</f>
        <v>0</v>
      </c>
    </row>
    <row r="5" spans="1:31" x14ac:dyDescent="0.3">
      <c r="A5" s="4" t="s">
        <v>34</v>
      </c>
      <c r="B5" s="3">
        <f>'existing (2)'!B5/10</f>
        <v>0</v>
      </c>
      <c r="C5" s="3">
        <f>'existing (2)'!C5/10</f>
        <v>0</v>
      </c>
      <c r="D5" s="3">
        <f>'existing (2)'!D5/10</f>
        <v>21.689</v>
      </c>
      <c r="E5" s="3">
        <f>'existing (2)'!E5/10</f>
        <v>0</v>
      </c>
      <c r="F5" s="3">
        <f>'existing (2)'!F5/10</f>
        <v>0.29599999999999999</v>
      </c>
      <c r="G5" s="3">
        <f>'existing (2)'!G5/10</f>
        <v>3.839</v>
      </c>
      <c r="H5" s="3">
        <f>'existing (2)'!H5/10</f>
        <v>5.6000000000000008E-2</v>
      </c>
      <c r="I5" s="3">
        <f>'existing (2)'!I5/10</f>
        <v>10.913</v>
      </c>
      <c r="J5" s="3">
        <f>'existing (2)'!J5/10</f>
        <v>42.564</v>
      </c>
      <c r="K5" s="3">
        <f>'existing (2)'!K5/10</f>
        <v>16.181000000000001</v>
      </c>
      <c r="L5" s="3">
        <f>'existing (2)'!L5/10</f>
        <v>16.687999999999999</v>
      </c>
      <c r="M5" s="3">
        <f>'existing (2)'!M5/10</f>
        <v>74.539999999999992</v>
      </c>
      <c r="N5" s="3">
        <f>'existing (2)'!N5/10</f>
        <v>74.539999999999992</v>
      </c>
      <c r="O5" s="3">
        <f>'existing (2)'!O5/10</f>
        <v>0</v>
      </c>
      <c r="P5" s="3">
        <f>'existing (2)'!P5/10</f>
        <v>44.089999999999996</v>
      </c>
      <c r="Q5" s="3">
        <f>'existing (2)'!Q5/10</f>
        <v>44.089999999999996</v>
      </c>
      <c r="R5" s="3">
        <f>'existing (2)'!R5/10</f>
        <v>0</v>
      </c>
      <c r="S5" s="3">
        <f>'existing (2)'!S5/10</f>
        <v>0</v>
      </c>
      <c r="T5" s="3">
        <f>'existing (2)'!T5/10</f>
        <v>27.600999999999999</v>
      </c>
      <c r="U5" s="3">
        <f>'existing (2)'!U5/10</f>
        <v>0</v>
      </c>
      <c r="V5" s="3">
        <f>'existing (2)'!V5/10</f>
        <v>0</v>
      </c>
      <c r="W5" s="3">
        <f>'existing (2)'!W5/10</f>
        <v>36.914000000000001</v>
      </c>
      <c r="X5" s="3">
        <f>'existing (2)'!X5/10</f>
        <v>1.3699999999999999</v>
      </c>
      <c r="Y5" s="3">
        <f>'existing (2)'!Y5/10</f>
        <v>1999</v>
      </c>
      <c r="Z5" s="3">
        <f>'existing (2)'!Z5/10</f>
        <v>20.422000000000001</v>
      </c>
      <c r="AA5" s="3">
        <f>'existing (2)'!AA5/10</f>
        <v>0</v>
      </c>
      <c r="AB5" s="3">
        <f>'existing (2)'!AB5/10</f>
        <v>0</v>
      </c>
      <c r="AC5" s="3">
        <f>'existing (2)'!AC5/10</f>
        <v>0</v>
      </c>
      <c r="AD5" s="3">
        <f>'existing (2)'!AD5/10</f>
        <v>0</v>
      </c>
      <c r="AE5" s="3">
        <f>'existing (2)'!AE5/10</f>
        <v>0</v>
      </c>
    </row>
    <row r="6" spans="1:31" x14ac:dyDescent="0.3">
      <c r="A6" s="2" t="s">
        <v>35</v>
      </c>
      <c r="B6" s="3">
        <f>'existing (2)'!B6/10</f>
        <v>0</v>
      </c>
      <c r="C6" s="3">
        <f>'existing (2)'!C6/10</f>
        <v>9.6000000000000002E-2</v>
      </c>
      <c r="D6" s="3">
        <f>'existing (2)'!D6/10</f>
        <v>0</v>
      </c>
      <c r="E6" s="3">
        <f>'existing (2)'!E6/10</f>
        <v>0</v>
      </c>
      <c r="F6" s="3">
        <f>'existing (2)'!F6/10</f>
        <v>0</v>
      </c>
      <c r="G6" s="3">
        <f>'existing (2)'!G6/10</f>
        <v>0</v>
      </c>
      <c r="H6" s="3">
        <f>'existing (2)'!H6/10</f>
        <v>0</v>
      </c>
      <c r="I6" s="3">
        <f>'existing (2)'!I6/10</f>
        <v>6.479000000000001</v>
      </c>
      <c r="J6" s="3">
        <f>'existing (2)'!J6/10</f>
        <v>15.969999999999999</v>
      </c>
      <c r="K6" s="3">
        <f>'existing (2)'!K6/10</f>
        <v>0</v>
      </c>
      <c r="L6" s="3">
        <f>'existing (2)'!L6/10</f>
        <v>16.673999999999999</v>
      </c>
      <c r="M6" s="3">
        <f>'existing (2)'!M6/10</f>
        <v>18.794</v>
      </c>
      <c r="N6" s="3">
        <f>'existing (2)'!N6/10</f>
        <v>18.794</v>
      </c>
      <c r="O6" s="3">
        <f>'existing (2)'!O6/10</f>
        <v>0</v>
      </c>
      <c r="P6" s="3">
        <f>'existing (2)'!P6/10</f>
        <v>52.664999999999999</v>
      </c>
      <c r="Q6" s="3">
        <f>'existing (2)'!Q6/10</f>
        <v>52.664999999999999</v>
      </c>
      <c r="R6" s="3">
        <f>'existing (2)'!R6/10</f>
        <v>5.5310000000000006</v>
      </c>
      <c r="S6" s="3">
        <f>'existing (2)'!S6/10</f>
        <v>0</v>
      </c>
      <c r="T6" s="3">
        <f>'existing (2)'!T6/10</f>
        <v>23.152999999999999</v>
      </c>
      <c r="U6" s="3">
        <f>'existing (2)'!U6/10</f>
        <v>0</v>
      </c>
      <c r="V6" s="3">
        <f>'existing (2)'!V6/10</f>
        <v>0</v>
      </c>
      <c r="W6" s="3">
        <f>'existing (2)'!W6/10</f>
        <v>5.5310000000000006</v>
      </c>
      <c r="X6" s="3">
        <f>'existing (2)'!X6/10</f>
        <v>1.3699999999999999</v>
      </c>
      <c r="Y6" s="3">
        <f>'existing (2)'!Y6/10</f>
        <v>0</v>
      </c>
      <c r="Z6" s="3">
        <f>'existing (2)'!Z6/10</f>
        <v>0</v>
      </c>
      <c r="AA6" s="3">
        <f>'existing (2)'!AA6/10</f>
        <v>0</v>
      </c>
      <c r="AB6" s="3">
        <f>'existing (2)'!AB6/10</f>
        <v>0</v>
      </c>
      <c r="AC6" s="3">
        <f>'existing (2)'!AC6/10</f>
        <v>0</v>
      </c>
      <c r="AD6" s="3">
        <f>'existing (2)'!AD6/10</f>
        <v>0</v>
      </c>
      <c r="AE6" s="3">
        <f>'existing (2)'!AE6/10</f>
        <v>0</v>
      </c>
    </row>
    <row r="7" spans="1:31" x14ac:dyDescent="0.3">
      <c r="A7" s="4" t="s">
        <v>36</v>
      </c>
      <c r="B7" s="3">
        <f>'existing (2)'!B7/10</f>
        <v>0</v>
      </c>
      <c r="C7" s="3">
        <f>'existing (2)'!C7/10</f>
        <v>0</v>
      </c>
      <c r="D7" s="3">
        <f>'existing (2)'!D7/10</f>
        <v>0</v>
      </c>
      <c r="E7" s="3">
        <f>'existing (2)'!E7/10</f>
        <v>0</v>
      </c>
      <c r="F7" s="3">
        <f>'existing (2)'!F7/10</f>
        <v>0</v>
      </c>
      <c r="G7" s="3">
        <f>'existing (2)'!G7/10</f>
        <v>0</v>
      </c>
      <c r="H7" s="3">
        <f>'existing (2)'!H7/10</f>
        <v>0</v>
      </c>
      <c r="I7" s="3">
        <f>'existing (2)'!I7/10</f>
        <v>4.8520000000000003</v>
      </c>
      <c r="J7" s="3">
        <f>'existing (2)'!J7/10</f>
        <v>5.93</v>
      </c>
      <c r="K7" s="3">
        <f>'existing (2)'!K7/10</f>
        <v>0</v>
      </c>
      <c r="L7" s="3">
        <f>'existing (2)'!L7/10</f>
        <v>0</v>
      </c>
      <c r="M7" s="3">
        <f>'existing (2)'!M7/10</f>
        <v>0</v>
      </c>
      <c r="N7" s="3">
        <f>'existing (2)'!N7/10</f>
        <v>0</v>
      </c>
      <c r="O7" s="3">
        <f>'existing (2)'!O7/10</f>
        <v>0</v>
      </c>
      <c r="P7" s="3">
        <f>'existing (2)'!P7/10</f>
        <v>9.7029999999999994</v>
      </c>
      <c r="Q7" s="3">
        <f>'existing (2)'!Q7/10</f>
        <v>0</v>
      </c>
      <c r="R7" s="3">
        <f>'existing (2)'!R7/10</f>
        <v>1.8480000000000001</v>
      </c>
      <c r="S7" s="3">
        <f>'existing (2)'!S7/10</f>
        <v>1.514</v>
      </c>
      <c r="T7" s="3">
        <f>'existing (2)'!T7/10</f>
        <v>4.8520000000000003</v>
      </c>
      <c r="U7" s="3">
        <f>'existing (2)'!U7/10</f>
        <v>0</v>
      </c>
      <c r="V7" s="3">
        <f>'existing (2)'!V7/10</f>
        <v>3.5999999999999997E-2</v>
      </c>
      <c r="W7" s="3">
        <f>'existing (2)'!W7/10</f>
        <v>1.8379999999999999</v>
      </c>
      <c r="X7" s="3">
        <f>'existing (2)'!X7/10</f>
        <v>0</v>
      </c>
      <c r="Y7" s="3">
        <f>'existing (2)'!Y7/10</f>
        <v>0</v>
      </c>
      <c r="Z7" s="3">
        <f>'existing (2)'!Z7/10</f>
        <v>0</v>
      </c>
      <c r="AA7" s="3">
        <f>'existing (2)'!AA7/10</f>
        <v>0</v>
      </c>
      <c r="AB7" s="3">
        <f>'existing (2)'!AB7/10</f>
        <v>0</v>
      </c>
      <c r="AC7" s="3">
        <f>'existing (2)'!AC7/10</f>
        <v>0</v>
      </c>
      <c r="AD7" s="3">
        <f>'existing (2)'!AD7/10</f>
        <v>0</v>
      </c>
      <c r="AE7" s="3">
        <f>'existing (2)'!AE7/10</f>
        <v>0</v>
      </c>
    </row>
    <row r="8" spans="1:31" x14ac:dyDescent="0.3">
      <c r="A8" s="2" t="s">
        <v>37</v>
      </c>
      <c r="B8" s="3">
        <f>'existing (2)'!B8/10</f>
        <v>0</v>
      </c>
      <c r="C8" s="3">
        <f>'existing (2)'!C8/10</f>
        <v>0</v>
      </c>
      <c r="D8" s="3">
        <f>'existing (2)'!D8/10</f>
        <v>0</v>
      </c>
      <c r="E8" s="3">
        <f>'existing (2)'!E8/10</f>
        <v>0</v>
      </c>
      <c r="F8" s="3">
        <f>'existing (2)'!F8/10</f>
        <v>0</v>
      </c>
      <c r="G8" s="3">
        <f>'existing (2)'!G8/10</f>
        <v>0</v>
      </c>
      <c r="H8" s="3">
        <f>'existing (2)'!H8/10</f>
        <v>0</v>
      </c>
      <c r="I8" s="3">
        <f>'existing (2)'!I8/10</f>
        <v>10.882</v>
      </c>
      <c r="J8" s="3">
        <f>'existing (2)'!J8/10</f>
        <v>28.442</v>
      </c>
      <c r="K8" s="3">
        <f>'existing (2)'!K8/10</f>
        <v>4.6549999999999994</v>
      </c>
      <c r="L8" s="3">
        <f>'existing (2)'!L8/10</f>
        <v>10.798999999999999</v>
      </c>
      <c r="M8" s="3">
        <f>'existing (2)'!M8/10</f>
        <v>13.633000000000001</v>
      </c>
      <c r="N8" s="3">
        <f>'existing (2)'!N8/10</f>
        <v>13.633000000000001</v>
      </c>
      <c r="O8" s="3">
        <f>'existing (2)'!O8/10</f>
        <v>0</v>
      </c>
      <c r="P8" s="3">
        <f>'existing (2)'!P8/10</f>
        <v>40.839999999999996</v>
      </c>
      <c r="Q8" s="3">
        <f>'existing (2)'!Q8/10</f>
        <v>49.295000000000002</v>
      </c>
      <c r="R8" s="3">
        <f>'existing (2)'!R8/10</f>
        <v>13.006</v>
      </c>
      <c r="S8" s="3">
        <f>'existing (2)'!S8/10</f>
        <v>7.3620000000000001</v>
      </c>
      <c r="T8" s="3">
        <f>'existing (2)'!T8/10</f>
        <v>21.681000000000001</v>
      </c>
      <c r="U8" s="3">
        <f>'existing (2)'!U8/10</f>
        <v>0</v>
      </c>
      <c r="V8" s="3">
        <f>'existing (2)'!V8/10</f>
        <v>0.20499999999999999</v>
      </c>
      <c r="W8" s="3">
        <f>'existing (2)'!W8/10</f>
        <v>31.161000000000001</v>
      </c>
      <c r="X8" s="3">
        <f>'existing (2)'!X8/10</f>
        <v>1.3699999999999999</v>
      </c>
      <c r="Y8" s="3">
        <f>'existing (2)'!Y8/10</f>
        <v>1999</v>
      </c>
      <c r="Z8" s="3">
        <f>'existing (2)'!Z8/10</f>
        <v>0</v>
      </c>
      <c r="AA8" s="3">
        <f>'existing (2)'!AA8/10</f>
        <v>0</v>
      </c>
      <c r="AB8" s="3">
        <f>'existing (2)'!AB8/10</f>
        <v>0</v>
      </c>
      <c r="AC8" s="3">
        <f>'existing (2)'!AC8/10</f>
        <v>0</v>
      </c>
      <c r="AD8" s="3">
        <f>'existing (2)'!AD8/10</f>
        <v>0</v>
      </c>
      <c r="AE8" s="3">
        <f>'existing (2)'!AE8/10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8"/>
  <sheetViews>
    <sheetView workbookViewId="0">
      <pane xSplit="1" ySplit="1" topLeftCell="Y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  <col min="27" max="29" width="32" customWidth="1"/>
    <col min="30" max="30" width="26" customWidth="1"/>
    <col min="31" max="31" width="27" customWidth="1"/>
  </cols>
  <sheetData>
    <row r="1" spans="1:3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0</v>
      </c>
      <c r="AC2" s="3">
        <v>0</v>
      </c>
      <c r="AD2" s="3">
        <v>1</v>
      </c>
      <c r="AE2" s="3">
        <v>1</v>
      </c>
    </row>
    <row r="3" spans="1:31" x14ac:dyDescent="0.3">
      <c r="A3" s="4" t="s">
        <v>32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0</v>
      </c>
      <c r="AC3" s="5">
        <v>0</v>
      </c>
      <c r="AD3" s="5">
        <v>1</v>
      </c>
      <c r="AE3" s="5">
        <v>1</v>
      </c>
    </row>
    <row r="4" spans="1:31" x14ac:dyDescent="0.3">
      <c r="A4" s="2" t="s">
        <v>33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0</v>
      </c>
      <c r="AB4" s="3">
        <v>1</v>
      </c>
      <c r="AC4" s="3">
        <v>0</v>
      </c>
      <c r="AD4" s="3">
        <v>1</v>
      </c>
      <c r="AE4" s="3">
        <v>1</v>
      </c>
    </row>
    <row r="5" spans="1:31" x14ac:dyDescent="0.3">
      <c r="A5" s="4" t="s">
        <v>34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0</v>
      </c>
      <c r="AB5" s="5">
        <v>0</v>
      </c>
      <c r="AC5" s="5">
        <v>1</v>
      </c>
      <c r="AD5" s="5">
        <v>1</v>
      </c>
      <c r="AE5" s="5">
        <v>1</v>
      </c>
    </row>
    <row r="6" spans="1:31" x14ac:dyDescent="0.3">
      <c r="A6" s="2" t="s">
        <v>35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0</v>
      </c>
      <c r="AB6" s="3">
        <v>0</v>
      </c>
      <c r="AC6" s="3">
        <v>1</v>
      </c>
      <c r="AD6" s="3">
        <v>1</v>
      </c>
      <c r="AE6" s="3">
        <v>1</v>
      </c>
    </row>
    <row r="7" spans="1:31" x14ac:dyDescent="0.3">
      <c r="A7" s="4" t="s">
        <v>36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0</v>
      </c>
      <c r="AB7" s="5">
        <v>0</v>
      </c>
      <c r="AC7" s="5">
        <v>1</v>
      </c>
      <c r="AD7" s="5">
        <v>1</v>
      </c>
      <c r="AE7" s="5">
        <v>1</v>
      </c>
    </row>
    <row r="8" spans="1:31" x14ac:dyDescent="0.3">
      <c r="A8" s="2" t="s">
        <v>37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0</v>
      </c>
      <c r="AB8" s="3">
        <v>0</v>
      </c>
      <c r="AC8" s="3">
        <v>1</v>
      </c>
      <c r="AD8" s="3">
        <v>1</v>
      </c>
      <c r="AE8" s="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4F8B-BCB9-487F-9B87-6EEE4BF61638}">
  <dimension ref="A1:AE8"/>
  <sheetViews>
    <sheetView workbookViewId="0">
      <pane xSplit="1" ySplit="1" topLeftCell="R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  <col min="27" max="29" width="32" customWidth="1"/>
    <col min="30" max="30" width="26" customWidth="1"/>
    <col min="31" max="31" width="27" customWidth="1"/>
  </cols>
  <sheetData>
    <row r="1" spans="1:3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3">
        <v>0</v>
      </c>
      <c r="C2" s="3">
        <v>0</v>
      </c>
      <c r="D2" s="3">
        <v>0</v>
      </c>
      <c r="E2" s="3">
        <v>0</v>
      </c>
      <c r="F2" s="3">
        <v>1.38</v>
      </c>
      <c r="G2" s="3">
        <v>0</v>
      </c>
      <c r="H2" s="3">
        <v>0</v>
      </c>
      <c r="I2" s="3">
        <v>114.1</v>
      </c>
      <c r="J2" s="3">
        <v>462.87</v>
      </c>
      <c r="K2" s="3">
        <v>99.04</v>
      </c>
      <c r="L2" s="3">
        <v>66.95</v>
      </c>
      <c r="M2" s="3">
        <v>946.41</v>
      </c>
      <c r="N2" s="3">
        <v>983.99</v>
      </c>
      <c r="O2" s="3">
        <v>0</v>
      </c>
      <c r="P2" s="3">
        <v>370.48</v>
      </c>
      <c r="Q2" s="3">
        <v>416.03</v>
      </c>
      <c r="R2" s="3">
        <v>36.799999999999997</v>
      </c>
      <c r="S2" s="3">
        <v>22.37</v>
      </c>
      <c r="T2" s="3">
        <v>181.05</v>
      </c>
      <c r="U2" s="3">
        <v>0</v>
      </c>
      <c r="V2" s="3">
        <v>49.16</v>
      </c>
      <c r="W2" s="3">
        <v>274.69</v>
      </c>
      <c r="X2" s="3">
        <v>6.85</v>
      </c>
      <c r="Y2" s="3">
        <v>5784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</row>
    <row r="3" spans="1:31" x14ac:dyDescent="0.3">
      <c r="A3" s="4" t="s">
        <v>32</v>
      </c>
      <c r="B3" s="5">
        <v>5.21</v>
      </c>
      <c r="C3" s="5">
        <v>0</v>
      </c>
      <c r="D3" s="5">
        <v>45.66</v>
      </c>
      <c r="E3" s="5">
        <v>0</v>
      </c>
      <c r="F3" s="5">
        <v>1.44</v>
      </c>
      <c r="G3" s="5">
        <v>8.08</v>
      </c>
      <c r="H3" s="5">
        <v>3.55</v>
      </c>
      <c r="I3" s="5">
        <v>0</v>
      </c>
      <c r="J3" s="5">
        <v>37.72</v>
      </c>
      <c r="K3" s="5">
        <v>35.22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17.75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48.42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3">
      <c r="A4" s="2" t="s">
        <v>33</v>
      </c>
      <c r="B4" s="3">
        <v>0</v>
      </c>
      <c r="C4" s="3">
        <v>0</v>
      </c>
      <c r="D4" s="3">
        <v>39.950000000000003</v>
      </c>
      <c r="E4" s="3">
        <v>0</v>
      </c>
      <c r="F4" s="3">
        <v>0.46</v>
      </c>
      <c r="G4" s="3">
        <v>7.07</v>
      </c>
      <c r="H4" s="3">
        <v>0</v>
      </c>
      <c r="I4" s="3">
        <v>177.04</v>
      </c>
      <c r="J4" s="3">
        <v>541.75</v>
      </c>
      <c r="K4" s="3">
        <v>20.3</v>
      </c>
      <c r="L4" s="3">
        <v>313.55</v>
      </c>
      <c r="M4" s="3">
        <v>666.6</v>
      </c>
      <c r="N4" s="3">
        <v>666.6</v>
      </c>
      <c r="O4" s="3">
        <v>0</v>
      </c>
      <c r="P4" s="3">
        <v>1217.3399999999999</v>
      </c>
      <c r="Q4" s="3">
        <v>1252.6199999999999</v>
      </c>
      <c r="R4" s="3">
        <v>254.91</v>
      </c>
      <c r="S4" s="3">
        <v>43.32</v>
      </c>
      <c r="T4" s="3">
        <v>490.59</v>
      </c>
      <c r="U4" s="3">
        <v>0</v>
      </c>
      <c r="V4" s="3">
        <v>14.73</v>
      </c>
      <c r="W4" s="3">
        <v>251.91</v>
      </c>
      <c r="X4" s="3">
        <v>13.7</v>
      </c>
      <c r="Y4" s="3">
        <v>0</v>
      </c>
      <c r="Z4" s="3">
        <v>27.91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</row>
    <row r="5" spans="1:31" x14ac:dyDescent="0.3">
      <c r="A5" s="4" t="s">
        <v>34</v>
      </c>
      <c r="B5" s="5">
        <v>0</v>
      </c>
      <c r="C5" s="5">
        <v>0</v>
      </c>
      <c r="D5" s="5">
        <v>216.89</v>
      </c>
      <c r="E5" s="5">
        <v>0</v>
      </c>
      <c r="F5" s="5">
        <v>2.96</v>
      </c>
      <c r="G5" s="5">
        <v>38.39</v>
      </c>
      <c r="H5" s="5">
        <v>0.56000000000000005</v>
      </c>
      <c r="I5" s="5">
        <v>109.13</v>
      </c>
      <c r="J5" s="5">
        <v>425.64</v>
      </c>
      <c r="K5" s="5">
        <v>161.81</v>
      </c>
      <c r="L5" s="5">
        <v>166.88</v>
      </c>
      <c r="M5" s="5">
        <v>745.4</v>
      </c>
      <c r="N5" s="5">
        <v>745.4</v>
      </c>
      <c r="O5" s="5">
        <v>0</v>
      </c>
      <c r="P5" s="5">
        <v>440.9</v>
      </c>
      <c r="Q5" s="5">
        <v>440.9</v>
      </c>
      <c r="R5" s="5">
        <v>0</v>
      </c>
      <c r="S5" s="5">
        <v>0</v>
      </c>
      <c r="T5" s="5">
        <v>276.01</v>
      </c>
      <c r="U5" s="5">
        <v>0</v>
      </c>
      <c r="V5" s="5">
        <v>0</v>
      </c>
      <c r="W5" s="5">
        <v>369.14</v>
      </c>
      <c r="X5" s="5">
        <v>13.7</v>
      </c>
      <c r="Y5" s="5">
        <v>19990</v>
      </c>
      <c r="Z5" s="5">
        <v>204.22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3">
      <c r="A6" s="2" t="s">
        <v>35</v>
      </c>
      <c r="B6" s="3">
        <v>0</v>
      </c>
      <c r="C6" s="3">
        <v>0.96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64.790000000000006</v>
      </c>
      <c r="J6" s="3">
        <v>159.69999999999999</v>
      </c>
      <c r="K6" s="3">
        <v>0</v>
      </c>
      <c r="L6" s="3">
        <v>166.74</v>
      </c>
      <c r="M6" s="3">
        <v>187.94</v>
      </c>
      <c r="N6" s="3">
        <v>187.94</v>
      </c>
      <c r="O6" s="3">
        <v>0</v>
      </c>
      <c r="P6" s="3">
        <v>526.65</v>
      </c>
      <c r="Q6" s="3">
        <v>526.65</v>
      </c>
      <c r="R6" s="3">
        <v>55.31</v>
      </c>
      <c r="S6" s="3">
        <v>0</v>
      </c>
      <c r="T6" s="3">
        <v>231.53</v>
      </c>
      <c r="U6" s="3">
        <v>0</v>
      </c>
      <c r="V6" s="3">
        <v>0</v>
      </c>
      <c r="W6" s="3">
        <v>55.31</v>
      </c>
      <c r="X6" s="3">
        <v>13.7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</row>
    <row r="7" spans="1:31" x14ac:dyDescent="0.3">
      <c r="A7" s="4" t="s">
        <v>36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48.52</v>
      </c>
      <c r="J7" s="5">
        <v>59.3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97.03</v>
      </c>
      <c r="Q7" s="5">
        <v>0</v>
      </c>
      <c r="R7" s="5">
        <v>18.48</v>
      </c>
      <c r="S7" s="5">
        <v>15.14</v>
      </c>
      <c r="T7" s="5">
        <v>48.52</v>
      </c>
      <c r="U7" s="5">
        <v>0</v>
      </c>
      <c r="V7" s="5">
        <v>0.36</v>
      </c>
      <c r="W7" s="5">
        <v>18.38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3">
      <c r="A8" s="2" t="s">
        <v>37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108.82</v>
      </c>
      <c r="J8" s="3">
        <v>284.42</v>
      </c>
      <c r="K8" s="3">
        <v>46.55</v>
      </c>
      <c r="L8" s="3">
        <v>107.99</v>
      </c>
      <c r="M8" s="3">
        <v>136.33000000000001</v>
      </c>
      <c r="N8" s="3">
        <v>136.33000000000001</v>
      </c>
      <c r="O8" s="3">
        <v>0</v>
      </c>
      <c r="P8" s="3">
        <v>408.4</v>
      </c>
      <c r="Q8" s="3">
        <v>492.95</v>
      </c>
      <c r="R8" s="3">
        <v>130.06</v>
      </c>
      <c r="S8" s="3">
        <v>73.62</v>
      </c>
      <c r="T8" s="3">
        <v>216.81</v>
      </c>
      <c r="U8" s="3">
        <v>0</v>
      </c>
      <c r="V8" s="3">
        <v>2.0499999999999998</v>
      </c>
      <c r="W8" s="3">
        <v>311.61</v>
      </c>
      <c r="X8" s="3">
        <v>13.7</v>
      </c>
      <c r="Y8" s="3">
        <v>19990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existing</vt:lpstr>
      <vt:lpstr>new</vt:lpstr>
      <vt:lpstr>existing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 Magnino</cp:lastModifiedBy>
  <dcterms:created xsi:type="dcterms:W3CDTF">2026-05-04T19:27:49Z</dcterms:created>
  <dcterms:modified xsi:type="dcterms:W3CDTF">2026-05-06T08:30:40Z</dcterms:modified>
</cp:coreProperties>
</file>