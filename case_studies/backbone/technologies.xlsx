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Github\AdOpT-NET0_my\case_studies\backbone\"/>
    </mc:Choice>
  </mc:AlternateContent>
  <xr:revisionPtr revIDLastSave="0" documentId="13_ncr:1_{046986E5-D3D1-4AA3-8B60-278B628CEAFC}" xr6:coauthVersionLast="47" xr6:coauthVersionMax="47" xr10:uidLastSave="{00000000-0000-0000-0000-000000000000}"/>
  <bookViews>
    <workbookView xWindow="-108" yWindow="12852" windowWidth="23256" windowHeight="12456" xr2:uid="{00000000-000D-0000-FFFF-FFFF00000000}"/>
  </bookViews>
  <sheets>
    <sheet name="existing" sheetId="1" r:id="rId1"/>
    <sheet name="new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1" l="1"/>
</calcChain>
</file>

<file path=xl/sharedStrings.xml><?xml version="1.0" encoding="utf-8"?>
<sst xmlns="http://schemas.openxmlformats.org/spreadsheetml/2006/main" count="64" uniqueCount="32">
  <si>
    <t>cluster</t>
  </si>
  <si>
    <t>HaberBosch</t>
  </si>
  <si>
    <t>Storage_Battery</t>
  </si>
  <si>
    <t>Storage_H2</t>
  </si>
  <si>
    <t>HBfeed_mixer</t>
  </si>
  <si>
    <t>ASU</t>
  </si>
  <si>
    <t>BEL1</t>
  </si>
  <si>
    <t>BEL2</t>
  </si>
  <si>
    <t>DE</t>
  </si>
  <si>
    <t>NL1</t>
  </si>
  <si>
    <t>NL2</t>
  </si>
  <si>
    <t>NL3</t>
  </si>
  <si>
    <t>SteamReformer</t>
  </si>
  <si>
    <t>Boiler_El</t>
  </si>
  <si>
    <t>CrackerFurnace</t>
  </si>
  <si>
    <t>OlefinSeparation</t>
  </si>
  <si>
    <t>eCrackerFurnace</t>
  </si>
  <si>
    <t>eSMR_syngas</t>
  </si>
  <si>
    <t>MeOHsynthesis</t>
  </si>
  <si>
    <t>MethanolToOlefins</t>
  </si>
  <si>
    <t>rWGS</t>
  </si>
  <si>
    <t>Plastic2methanol</t>
  </si>
  <si>
    <t>WGS_syngas</t>
  </si>
  <si>
    <t>feedgas_mixer</t>
  </si>
  <si>
    <t>HBfeed_splitter</t>
  </si>
  <si>
    <t>NL4</t>
  </si>
  <si>
    <t>Biomass2methanol</t>
  </si>
  <si>
    <t>CO2_mixer</t>
  </si>
  <si>
    <t>naphtha_mixer</t>
  </si>
  <si>
    <t>DAC_Adsorption</t>
  </si>
  <si>
    <t>SOEC</t>
  </si>
  <si>
    <t>PEMEC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</si>
</sst>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8"/>
  <sheetViews>
    <sheetView tabSelected="1" workbookViewId="0">
      <selection activeCell="C3" sqref="C3"/>
    </sheetView>
  </sheetViews>
  <sheetFormatPr defaultRowHeight="15" x14ac:dyDescent="0.25"/>
  <sheetData>
    <row r="1" spans="1:25" x14ac:dyDescent="0.25">
      <c r="A1" t="s">
        <v>0</v>
      </c>
      <c r="B1" t="s">
        <v>30</v>
      </c>
      <c r="C1" t="s">
        <v>31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12</v>
      </c>
      <c r="J1" t="s">
        <v>13</v>
      </c>
      <c r="K1" t="s">
        <v>22</v>
      </c>
      <c r="L1" t="s">
        <v>17</v>
      </c>
      <c r="M1" t="s">
        <v>14</v>
      </c>
      <c r="N1" t="s">
        <v>15</v>
      </c>
      <c r="O1" t="s">
        <v>16</v>
      </c>
      <c r="P1" t="s">
        <v>18</v>
      </c>
      <c r="Q1" t="s">
        <v>19</v>
      </c>
      <c r="R1" t="s">
        <v>20</v>
      </c>
      <c r="S1" t="s">
        <v>21</v>
      </c>
      <c r="T1" t="s">
        <v>23</v>
      </c>
      <c r="U1" t="s">
        <v>24</v>
      </c>
      <c r="V1" t="s">
        <v>26</v>
      </c>
      <c r="W1" t="s">
        <v>27</v>
      </c>
      <c r="X1" t="s">
        <v>28</v>
      </c>
      <c r="Y1" t="s">
        <v>29</v>
      </c>
    </row>
    <row r="2" spans="1:25" x14ac:dyDescent="0.25">
      <c r="A2" t="s">
        <v>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946.41</v>
      </c>
      <c r="N2">
        <v>946.41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</row>
    <row r="3" spans="1:25" x14ac:dyDescent="0.25">
      <c r="A3" t="s">
        <v>7</v>
      </c>
      <c r="B3">
        <v>0</v>
      </c>
      <c r="C3">
        <v>0</v>
      </c>
      <c r="D3">
        <v>45.67</v>
      </c>
      <c r="E3">
        <v>0</v>
      </c>
      <c r="F3">
        <v>0</v>
      </c>
      <c r="G3">
        <v>0</v>
      </c>
      <c r="H3">
        <v>0</v>
      </c>
      <c r="I3">
        <v>16.5</v>
      </c>
      <c r="J3">
        <v>0</v>
      </c>
      <c r="K3">
        <v>34.700000000000003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</row>
    <row r="4" spans="1:25" x14ac:dyDescent="0.25">
      <c r="A4" t="s">
        <v>8</v>
      </c>
      <c r="B4">
        <v>0</v>
      </c>
      <c r="C4">
        <v>0</v>
      </c>
      <c r="D4">
        <v>39.950000000000003</v>
      </c>
      <c r="E4">
        <v>0</v>
      </c>
      <c r="F4">
        <v>0</v>
      </c>
      <c r="G4">
        <v>0</v>
      </c>
      <c r="H4">
        <v>0</v>
      </c>
      <c r="I4">
        <f>18.4+14.4</f>
        <v>32.799999999999997</v>
      </c>
      <c r="J4">
        <v>0</v>
      </c>
      <c r="K4">
        <v>69</v>
      </c>
      <c r="L4">
        <v>0</v>
      </c>
      <c r="M4">
        <v>515.12</v>
      </c>
      <c r="N4">
        <v>515.12</v>
      </c>
      <c r="O4">
        <v>0</v>
      </c>
      <c r="P4">
        <v>38.840000000000003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</row>
    <row r="5" spans="1:25" x14ac:dyDescent="0.25">
      <c r="A5" t="s">
        <v>9</v>
      </c>
      <c r="B5">
        <v>0</v>
      </c>
      <c r="C5">
        <v>0</v>
      </c>
      <c r="D5">
        <v>217</v>
      </c>
      <c r="E5">
        <v>0</v>
      </c>
      <c r="F5">
        <v>0</v>
      </c>
      <c r="G5">
        <v>0</v>
      </c>
      <c r="H5">
        <v>0</v>
      </c>
      <c r="I5">
        <v>77</v>
      </c>
      <c r="J5">
        <v>0</v>
      </c>
      <c r="K5">
        <v>163.6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</row>
    <row r="6" spans="1:25" x14ac:dyDescent="0.25">
      <c r="A6" t="s">
        <v>10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566</v>
      </c>
      <c r="N6">
        <v>566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</row>
    <row r="7" spans="1:25" x14ac:dyDescent="0.25">
      <c r="A7" t="s">
        <v>11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55.6</v>
      </c>
      <c r="J7">
        <v>0</v>
      </c>
      <c r="K7">
        <v>118</v>
      </c>
      <c r="L7">
        <v>0</v>
      </c>
      <c r="M7">
        <v>0</v>
      </c>
      <c r="N7">
        <v>0</v>
      </c>
      <c r="O7">
        <v>0</v>
      </c>
      <c r="P7">
        <v>118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</row>
    <row r="8" spans="1:25" x14ac:dyDescent="0.25">
      <c r="A8" t="s">
        <v>25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654</v>
      </c>
      <c r="N8">
        <v>654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448D7-10EE-4973-BCA6-F7E0B963E195}">
  <dimension ref="A1:Y8"/>
  <sheetViews>
    <sheetView workbookViewId="0">
      <selection activeCell="Y9" sqref="Y9"/>
    </sheetView>
  </sheetViews>
  <sheetFormatPr defaultRowHeight="15" x14ac:dyDescent="0.25"/>
  <sheetData>
    <row r="1" spans="1:25" x14ac:dyDescent="0.25">
      <c r="A1" t="s">
        <v>0</v>
      </c>
      <c r="B1" t="s">
        <v>30</v>
      </c>
      <c r="C1" t="s">
        <v>31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12</v>
      </c>
      <c r="J1" t="s">
        <v>13</v>
      </c>
      <c r="K1" t="s">
        <v>22</v>
      </c>
      <c r="L1" t="s">
        <v>17</v>
      </c>
      <c r="M1" t="s">
        <v>14</v>
      </c>
      <c r="N1" t="s">
        <v>15</v>
      </c>
      <c r="O1" t="s">
        <v>16</v>
      </c>
      <c r="P1" t="s">
        <v>18</v>
      </c>
      <c r="Q1" t="s">
        <v>19</v>
      </c>
      <c r="R1" t="s">
        <v>20</v>
      </c>
      <c r="S1" t="s">
        <v>21</v>
      </c>
      <c r="T1" t="s">
        <v>23</v>
      </c>
      <c r="U1" t="s">
        <v>24</v>
      </c>
      <c r="V1" t="s">
        <v>26</v>
      </c>
      <c r="W1" t="s">
        <v>27</v>
      </c>
      <c r="X1" t="s">
        <v>28</v>
      </c>
      <c r="Y1" t="s">
        <v>29</v>
      </c>
    </row>
    <row r="2" spans="1:25" x14ac:dyDescent="0.25">
      <c r="A2" t="s">
        <v>6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25">
      <c r="A3" t="s">
        <v>7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25">
      <c r="A4" t="s">
        <v>8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25">
      <c r="A5" t="s">
        <v>9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</row>
    <row r="6" spans="1:25" x14ac:dyDescent="0.25">
      <c r="A6" t="s">
        <v>10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</row>
    <row r="7" spans="1:25" x14ac:dyDescent="0.25">
      <c r="A7" t="s">
        <v>11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</row>
    <row r="8" spans="1:25" x14ac:dyDescent="0.25">
      <c r="A8" t="s">
        <v>25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existing</vt:lpstr>
      <vt:lpstr>new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alessandro.magnino</dc:creator>
  <cp:lastModifiedBy>Alessandro  Magnino</cp:lastModifiedBy>
  <dcterms:created xsi:type="dcterms:W3CDTF">2015-06-05T18:19:34Z</dcterms:created>
  <dcterms:modified xsi:type="dcterms:W3CDTF">2026-03-10T16:08:06Z</dcterms:modified>
</cp:coreProperties>
</file>